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hphuong\Desktop\Solar\all_data\"/>
    </mc:Choice>
  </mc:AlternateContent>
  <xr:revisionPtr revIDLastSave="0" documentId="8_{1CFA6E35-B7FE-4690-91BF-32CC3DC267A8}" xr6:coauthVersionLast="47" xr6:coauthVersionMax="47" xr10:uidLastSave="{00000000-0000-0000-0000-000000000000}"/>
  <bookViews>
    <workbookView xWindow="-120" yWindow="-120" windowWidth="29040" windowHeight="15720" xr2:uid="{9D84F66A-7DAA-41E0-B3FB-E8DBA86E37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2" i="1" l="1"/>
  <c r="M12" i="1"/>
  <c r="E12" i="1"/>
  <c r="F12" i="1"/>
  <c r="G12" i="1"/>
  <c r="H12" i="1"/>
  <c r="I12" i="1"/>
  <c r="J12" i="1"/>
  <c r="K12" i="1"/>
  <c r="L12" i="1"/>
  <c r="D12" i="1"/>
  <c r="O8" i="1"/>
  <c r="O9" i="1"/>
  <c r="E9" i="1"/>
  <c r="F9" i="1"/>
  <c r="G9" i="1"/>
  <c r="H9" i="1"/>
  <c r="I9" i="1"/>
  <c r="J9" i="1"/>
  <c r="K9" i="1"/>
  <c r="L9" i="1"/>
  <c r="D9" i="1"/>
  <c r="E8" i="1"/>
  <c r="F8" i="1"/>
  <c r="G8" i="1"/>
  <c r="H8" i="1"/>
  <c r="I8" i="1"/>
  <c r="J8" i="1"/>
  <c r="K8" i="1"/>
  <c r="L8" i="1"/>
  <c r="D8" i="1"/>
  <c r="E6" i="1"/>
  <c r="F6" i="1"/>
  <c r="G6" i="1"/>
  <c r="H6" i="1"/>
  <c r="I6" i="1"/>
  <c r="J6" i="1"/>
  <c r="K6" i="1"/>
  <c r="L6" i="1"/>
  <c r="M6" i="1"/>
  <c r="D6" i="1"/>
  <c r="O6" i="1" s="1"/>
</calcChain>
</file>

<file path=xl/sharedStrings.xml><?xml version="1.0" encoding="utf-8"?>
<sst xmlns="http://schemas.openxmlformats.org/spreadsheetml/2006/main" count="58" uniqueCount="56">
  <si>
    <t>f</t>
  </si>
  <si>
    <t>lambda</t>
  </si>
  <si>
    <t>v</t>
  </si>
  <si>
    <t>f*v</t>
  </si>
  <si>
    <t>rlambda</t>
  </si>
  <si>
    <t>s</t>
  </si>
  <si>
    <t>f*s</t>
  </si>
  <si>
    <t>lux</t>
  </si>
  <si>
    <t>f*lux</t>
  </si>
  <si>
    <t>irr</t>
  </si>
  <si>
    <t>f*irr</t>
  </si>
  <si>
    <t>25Argv10.txt</t>
  </si>
  <si>
    <t>datetime</t>
  </si>
  <si>
    <t>date</t>
  </si>
  <si>
    <t>time</t>
  </si>
  <si>
    <t>year</t>
  </si>
  <si>
    <t>month</t>
  </si>
  <si>
    <t>day</t>
  </si>
  <si>
    <t>hour</t>
  </si>
  <si>
    <t>minute</t>
  </si>
  <si>
    <t>second</t>
  </si>
  <si>
    <t>area</t>
  </si>
  <si>
    <t>eu</t>
  </si>
  <si>
    <t>SHT0_temp</t>
  </si>
  <si>
    <t>SHT0_humidity</t>
  </si>
  <si>
    <t>SHT0_F1</t>
  </si>
  <si>
    <t>SHT0_F2</t>
  </si>
  <si>
    <t>SHT0_F3</t>
  </si>
  <si>
    <t>SHT0_F4</t>
  </si>
  <si>
    <t>SHT0_F5</t>
  </si>
  <si>
    <t>SHT0_F6</t>
  </si>
  <si>
    <t>SHT0_F7</t>
  </si>
  <si>
    <t>SHT0_F8</t>
  </si>
  <si>
    <t>SHT0_F9</t>
  </si>
  <si>
    <t>SHT0_F10</t>
  </si>
  <si>
    <t>SHT0_F11</t>
  </si>
  <si>
    <t>SHT0_F12</t>
  </si>
  <si>
    <t>SHT1_temp</t>
  </si>
  <si>
    <t>SHT1_humidity</t>
  </si>
  <si>
    <t>SHT1_F1</t>
  </si>
  <si>
    <t>SHT1_F2</t>
  </si>
  <si>
    <t>SHT1_F3</t>
  </si>
  <si>
    <t>SHT1_F4</t>
  </si>
  <si>
    <t>SHT1_F5</t>
  </si>
  <si>
    <t>SHT1_F6</t>
  </si>
  <si>
    <t>SHT1_F7</t>
  </si>
  <si>
    <t>SHT1_F8</t>
  </si>
  <si>
    <t>SHT1_F9</t>
  </si>
  <si>
    <t>SHT1_F10</t>
  </si>
  <si>
    <t>SHT1_F11</t>
  </si>
  <si>
    <t>SHT1_F12</t>
  </si>
  <si>
    <t>file</t>
  </si>
  <si>
    <t>sht0_irradiance(μW/cm²)</t>
  </si>
  <si>
    <t>sht0_lux</t>
  </si>
  <si>
    <t>sht1_irradiance(μW/cm²)</t>
  </si>
  <si>
    <t>sht1_lux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</si>
</sst>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2" fontId="1" fillId="0" borderId="0" xfId="0" applyNumberFormat="1" applyFont="1"/>
    <xf numFmtId="21" fontId="1" fillId="0" borderId="0" xfId="0" applyNumberFormat="1" applyFon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4322104707325782E-2"/>
          <c:y val="0.15438787316547373"/>
          <c:w val="0.9160408144248241"/>
          <c:h val="0.77886012284184847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Sheet1!$C$4</c:f>
              <c:strCache>
                <c:ptCount val="1"/>
                <c:pt idx="0">
                  <c:v>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Sheet1!$D$3:$L$3</c:f>
              <c:numCache>
                <c:formatCode>General</c:formatCode>
                <c:ptCount val="9"/>
                <c:pt idx="0">
                  <c:v>415</c:v>
                </c:pt>
                <c:pt idx="1">
                  <c:v>445</c:v>
                </c:pt>
                <c:pt idx="2">
                  <c:v>480</c:v>
                </c:pt>
                <c:pt idx="3">
                  <c:v>515</c:v>
                </c:pt>
                <c:pt idx="4">
                  <c:v>555</c:v>
                </c:pt>
                <c:pt idx="5">
                  <c:v>590</c:v>
                </c:pt>
                <c:pt idx="6">
                  <c:v>630</c:v>
                </c:pt>
                <c:pt idx="7">
                  <c:v>680</c:v>
                </c:pt>
                <c:pt idx="8">
                  <c:v>910</c:v>
                </c:pt>
              </c:numCache>
            </c:numRef>
          </c:xVal>
          <c:yVal>
            <c:numRef>
              <c:f>Sheet1!$D$4:$L$4</c:f>
              <c:numCache>
                <c:formatCode>General</c:formatCode>
                <c:ptCount val="9"/>
                <c:pt idx="0">
                  <c:v>453</c:v>
                </c:pt>
                <c:pt idx="1">
                  <c:v>588</c:v>
                </c:pt>
                <c:pt idx="2">
                  <c:v>765</c:v>
                </c:pt>
                <c:pt idx="3">
                  <c:v>931</c:v>
                </c:pt>
                <c:pt idx="4">
                  <c:v>5334</c:v>
                </c:pt>
                <c:pt idx="5">
                  <c:v>2852</c:v>
                </c:pt>
                <c:pt idx="6">
                  <c:v>1057</c:v>
                </c:pt>
                <c:pt idx="7">
                  <c:v>1111</c:v>
                </c:pt>
                <c:pt idx="8">
                  <c:v>1282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9A8-46F0-B873-EF74A7D7A1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1206703"/>
        <c:axId val="621210031"/>
      </c:scatterChart>
      <c:valAx>
        <c:axId val="621206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210031"/>
        <c:crosses val="autoZero"/>
        <c:crossBetween val="midCat"/>
      </c:valAx>
      <c:valAx>
        <c:axId val="621210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2067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Sheet1!$D$13:$L$13</c:f>
              <c:numCache>
                <c:formatCode>General</c:formatCode>
                <c:ptCount val="9"/>
                <c:pt idx="0">
                  <c:v>415</c:v>
                </c:pt>
                <c:pt idx="1">
                  <c:v>445</c:v>
                </c:pt>
                <c:pt idx="2">
                  <c:v>480</c:v>
                </c:pt>
                <c:pt idx="3">
                  <c:v>515</c:v>
                </c:pt>
                <c:pt idx="4">
                  <c:v>555</c:v>
                </c:pt>
                <c:pt idx="5">
                  <c:v>590</c:v>
                </c:pt>
                <c:pt idx="6">
                  <c:v>630</c:v>
                </c:pt>
                <c:pt idx="7">
                  <c:v>680</c:v>
                </c:pt>
                <c:pt idx="8">
                  <c:v>910</c:v>
                </c:pt>
              </c:numCache>
            </c:numRef>
          </c:xVal>
          <c:yVal>
            <c:numRef>
              <c:f>Sheet1!$D$14:$L$14</c:f>
              <c:numCache>
                <c:formatCode>General</c:formatCode>
                <c:ptCount val="9"/>
                <c:pt idx="0">
                  <c:v>438</c:v>
                </c:pt>
                <c:pt idx="1">
                  <c:v>571</c:v>
                </c:pt>
                <c:pt idx="2">
                  <c:v>726</c:v>
                </c:pt>
                <c:pt idx="3">
                  <c:v>900</c:v>
                </c:pt>
                <c:pt idx="4">
                  <c:v>5026</c:v>
                </c:pt>
                <c:pt idx="5">
                  <c:v>2262</c:v>
                </c:pt>
                <c:pt idx="6">
                  <c:v>974</c:v>
                </c:pt>
                <c:pt idx="7">
                  <c:v>1009</c:v>
                </c:pt>
                <c:pt idx="8">
                  <c:v>1102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5CD-4CDA-B496-8804AC18D6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2690559"/>
        <c:axId val="622690975"/>
      </c:scatterChart>
      <c:valAx>
        <c:axId val="622690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690975"/>
        <c:crosses val="autoZero"/>
        <c:crossBetween val="midCat"/>
      </c:valAx>
      <c:valAx>
        <c:axId val="622690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6905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276224</xdr:colOff>
      <xdr:row>22</xdr:row>
      <xdr:rowOff>14287</xdr:rowOff>
    </xdr:from>
    <xdr:to>
      <xdr:col>13</xdr:col>
      <xdr:colOff>400049</xdr:colOff>
      <xdr:row>40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A040720-B07D-4AD5-A9E1-9330D9FF14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104775</xdr:colOff>
      <xdr:row>22</xdr:row>
      <xdr:rowOff>4761</xdr:rowOff>
    </xdr:from>
    <xdr:to>
      <xdr:col>25</xdr:col>
      <xdr:colOff>123825</xdr:colOff>
      <xdr:row>40</xdr:row>
      <xdr:rowOff>28574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50257D6-9A74-487D-8EEE-D44076602D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9DD75-095D-404D-94E1-191EF0151119}">
  <dimension ref="C1:AT18"/>
  <sheetViews>
    <sheetView tabSelected="1" topLeftCell="A10" workbookViewId="0">
      <selection activeCell="R20" sqref="R20"/>
    </sheetView>
  </sheetViews>
  <sheetFormatPr defaultRowHeight="15" x14ac:dyDescent="0.25"/>
  <cols>
    <col min="3" max="3" width="16" customWidth="1"/>
    <col min="4" max="4" width="20.5703125" customWidth="1"/>
  </cols>
  <sheetData>
    <row r="1" spans="3:15" x14ac:dyDescent="0.25">
      <c r="C1" t="s">
        <v>5</v>
      </c>
      <c r="D1">
        <v>0.02</v>
      </c>
      <c r="E1">
        <v>0.4</v>
      </c>
      <c r="F1">
        <v>0.85</v>
      </c>
      <c r="G1">
        <v>0.98</v>
      </c>
      <c r="H1">
        <v>0.5</v>
      </c>
      <c r="I1">
        <v>0.08</v>
      </c>
      <c r="J1">
        <v>0</v>
      </c>
      <c r="K1">
        <v>0</v>
      </c>
      <c r="L1">
        <v>0</v>
      </c>
    </row>
    <row r="2" spans="3:15" x14ac:dyDescent="0.25">
      <c r="C2" t="s">
        <v>2</v>
      </c>
      <c r="D2">
        <v>0.01</v>
      </c>
      <c r="E2">
        <v>0.04</v>
      </c>
      <c r="F2">
        <v>0.13</v>
      </c>
      <c r="G2">
        <v>0.6</v>
      </c>
      <c r="H2">
        <v>0.95</v>
      </c>
      <c r="I2">
        <v>0.8</v>
      </c>
      <c r="J2">
        <v>0.25</v>
      </c>
      <c r="K2">
        <v>0.04</v>
      </c>
      <c r="L2">
        <v>0</v>
      </c>
    </row>
    <row r="3" spans="3:15" x14ac:dyDescent="0.25">
      <c r="C3" t="s">
        <v>1</v>
      </c>
      <c r="D3">
        <v>415</v>
      </c>
      <c r="E3">
        <v>445</v>
      </c>
      <c r="F3">
        <v>480</v>
      </c>
      <c r="G3">
        <v>515</v>
      </c>
      <c r="H3">
        <v>555</v>
      </c>
      <c r="I3">
        <v>590</v>
      </c>
      <c r="J3">
        <v>630</v>
      </c>
      <c r="K3">
        <v>680</v>
      </c>
      <c r="L3">
        <v>910</v>
      </c>
      <c r="M3">
        <v>0</v>
      </c>
      <c r="N3">
        <v>0</v>
      </c>
      <c r="O3">
        <v>0</v>
      </c>
    </row>
    <row r="4" spans="3:15" x14ac:dyDescent="0.25">
      <c r="C4" t="s">
        <v>0</v>
      </c>
      <c r="D4" s="1">
        <v>453</v>
      </c>
      <c r="E4" s="1">
        <v>588</v>
      </c>
      <c r="F4" s="1">
        <v>765</v>
      </c>
      <c r="G4" s="1">
        <v>931</v>
      </c>
      <c r="H4" s="1">
        <v>5334</v>
      </c>
      <c r="I4" s="1">
        <v>2852</v>
      </c>
      <c r="J4" s="1">
        <v>1057</v>
      </c>
      <c r="K4" s="1">
        <v>1111</v>
      </c>
      <c r="L4" s="1">
        <v>1282</v>
      </c>
      <c r="M4" s="1">
        <v>1520</v>
      </c>
      <c r="N4" s="1">
        <v>5334</v>
      </c>
      <c r="O4" s="1">
        <v>2852</v>
      </c>
    </row>
    <row r="5" spans="3:15" x14ac:dyDescent="0.25">
      <c r="C5" t="s">
        <v>9</v>
      </c>
      <c r="D5">
        <v>9.8589177699999997</v>
      </c>
      <c r="E5">
        <v>0.21775516689989999</v>
      </c>
      <c r="F5">
        <v>2.229691404</v>
      </c>
      <c r="G5">
        <v>1.082805018</v>
      </c>
      <c r="H5">
        <v>0.60420261600000003</v>
      </c>
      <c r="I5">
        <v>0.71840563999999996</v>
      </c>
      <c r="J5">
        <v>0.35541928</v>
      </c>
      <c r="K5">
        <v>0.57426650830000003</v>
      </c>
      <c r="L5">
        <v>1.3015411849</v>
      </c>
      <c r="M5">
        <v>1.7208873369990001</v>
      </c>
    </row>
    <row r="6" spans="3:15" x14ac:dyDescent="0.25">
      <c r="C6" t="s">
        <v>10</v>
      </c>
      <c r="D6">
        <f>D4*D5</f>
        <v>4466.0897498100003</v>
      </c>
      <c r="E6">
        <f t="shared" ref="E6:M6" si="0">E4*E5</f>
        <v>128.04003813714118</v>
      </c>
      <c r="F6">
        <f t="shared" si="0"/>
        <v>1705.71392406</v>
      </c>
      <c r="G6">
        <f t="shared" si="0"/>
        <v>1008.091471758</v>
      </c>
      <c r="H6">
        <f t="shared" si="0"/>
        <v>3222.8167537439999</v>
      </c>
      <c r="I6">
        <f t="shared" si="0"/>
        <v>2048.89288528</v>
      </c>
      <c r="J6">
        <f t="shared" si="0"/>
        <v>375.67817896000003</v>
      </c>
      <c r="K6">
        <f t="shared" si="0"/>
        <v>638.0100907213</v>
      </c>
      <c r="L6">
        <f t="shared" si="0"/>
        <v>1668.5757990418001</v>
      </c>
      <c r="M6">
        <f t="shared" si="0"/>
        <v>2615.7487522384799</v>
      </c>
      <c r="O6">
        <f>SUM(D6:M6)</f>
        <v>17877.657643750725</v>
      </c>
    </row>
    <row r="7" spans="3:15" x14ac:dyDescent="0.25">
      <c r="C7" t="s">
        <v>4</v>
      </c>
      <c r="D7">
        <v>20</v>
      </c>
      <c r="E7">
        <v>20</v>
      </c>
    </row>
    <row r="8" spans="3:15" x14ac:dyDescent="0.25">
      <c r="C8" t="s">
        <v>3</v>
      </c>
      <c r="D8">
        <f>D4*D2</f>
        <v>4.53</v>
      </c>
      <c r="E8">
        <f t="shared" ref="E8:L8" si="1">E4*E2</f>
        <v>23.52</v>
      </c>
      <c r="F8">
        <f t="shared" si="1"/>
        <v>99.45</v>
      </c>
      <c r="G8">
        <f t="shared" si="1"/>
        <v>558.6</v>
      </c>
      <c r="H8">
        <f t="shared" si="1"/>
        <v>5067.3</v>
      </c>
      <c r="I8">
        <f t="shared" si="1"/>
        <v>2281.6</v>
      </c>
      <c r="J8">
        <f t="shared" si="1"/>
        <v>264.25</v>
      </c>
      <c r="K8">
        <f t="shared" si="1"/>
        <v>44.44</v>
      </c>
      <c r="L8">
        <f t="shared" si="1"/>
        <v>0</v>
      </c>
      <c r="O8">
        <f>SUM(D8:L8)*20</f>
        <v>166873.80000000002</v>
      </c>
    </row>
    <row r="9" spans="3:15" x14ac:dyDescent="0.25">
      <c r="C9" t="s">
        <v>6</v>
      </c>
      <c r="D9">
        <f>D4*D1</f>
        <v>9.06</v>
      </c>
      <c r="E9">
        <f t="shared" ref="E9:L9" si="2">E4*E1</f>
        <v>235.20000000000002</v>
      </c>
      <c r="F9">
        <f t="shared" si="2"/>
        <v>650.25</v>
      </c>
      <c r="G9">
        <f t="shared" si="2"/>
        <v>912.38</v>
      </c>
      <c r="H9">
        <f t="shared" si="2"/>
        <v>2667</v>
      </c>
      <c r="I9">
        <f t="shared" si="2"/>
        <v>228.16</v>
      </c>
      <c r="J9">
        <f t="shared" si="2"/>
        <v>0</v>
      </c>
      <c r="K9">
        <f t="shared" si="2"/>
        <v>0</v>
      </c>
      <c r="L9">
        <f t="shared" si="2"/>
        <v>0</v>
      </c>
      <c r="O9">
        <f>SUM(D9:L9)*20</f>
        <v>94040.999999999985</v>
      </c>
    </row>
    <row r="11" spans="3:15" x14ac:dyDescent="0.25">
      <c r="C11" t="s">
        <v>7</v>
      </c>
      <c r="D11">
        <v>1.396E-2</v>
      </c>
      <c r="E11">
        <v>0.16747999999999999</v>
      </c>
      <c r="F11">
        <v>0.23538000000000001</v>
      </c>
      <c r="G11">
        <v>1.4275</v>
      </c>
      <c r="H11">
        <v>1.8867</v>
      </c>
      <c r="I11">
        <v>1.1419999999999999</v>
      </c>
      <c r="J11">
        <v>0.46496999999999999</v>
      </c>
      <c r="K11">
        <v>-2.7019999999999999E-2</v>
      </c>
      <c r="L11">
        <v>-1.9990000000000001E-2</v>
      </c>
      <c r="M11">
        <v>-0.24468000000000001</v>
      </c>
    </row>
    <row r="12" spans="3:15" x14ac:dyDescent="0.25">
      <c r="C12" t="s">
        <v>8</v>
      </c>
      <c r="D12">
        <f>D4*D11</f>
        <v>6.3238799999999999</v>
      </c>
      <c r="E12">
        <f t="shared" ref="E12:M12" si="3">E4*E11</f>
        <v>98.47824</v>
      </c>
      <c r="F12">
        <f t="shared" si="3"/>
        <v>180.06569999999999</v>
      </c>
      <c r="G12">
        <f t="shared" si="3"/>
        <v>1329.0025000000001</v>
      </c>
      <c r="H12">
        <f t="shared" si="3"/>
        <v>10063.657800000001</v>
      </c>
      <c r="I12">
        <f t="shared" si="3"/>
        <v>3256.9839999999999</v>
      </c>
      <c r="J12">
        <f t="shared" si="3"/>
        <v>491.47329000000002</v>
      </c>
      <c r="K12">
        <f t="shared" si="3"/>
        <v>-30.019219999999997</v>
      </c>
      <c r="L12">
        <f t="shared" si="3"/>
        <v>-25.627180000000003</v>
      </c>
      <c r="M12">
        <f t="shared" si="3"/>
        <v>-371.91360000000003</v>
      </c>
      <c r="O12">
        <f>SUM(D12:M12)</f>
        <v>14998.425410000002</v>
      </c>
    </row>
    <row r="13" spans="3:15" x14ac:dyDescent="0.25">
      <c r="C13" t="s">
        <v>1</v>
      </c>
      <c r="D13">
        <v>415</v>
      </c>
      <c r="E13">
        <v>445</v>
      </c>
      <c r="F13">
        <v>480</v>
      </c>
      <c r="G13">
        <v>515</v>
      </c>
      <c r="H13">
        <v>555</v>
      </c>
      <c r="I13">
        <v>590</v>
      </c>
      <c r="J13">
        <v>630</v>
      </c>
      <c r="K13">
        <v>680</v>
      </c>
      <c r="L13">
        <v>910</v>
      </c>
      <c r="M13">
        <v>0</v>
      </c>
      <c r="N13">
        <v>0</v>
      </c>
      <c r="O13">
        <v>0</v>
      </c>
    </row>
    <row r="14" spans="3:15" x14ac:dyDescent="0.25">
      <c r="C14" t="s">
        <v>0</v>
      </c>
      <c r="D14" s="1">
        <v>438</v>
      </c>
      <c r="E14" s="1">
        <v>571</v>
      </c>
      <c r="F14" s="1">
        <v>726</v>
      </c>
      <c r="G14" s="1">
        <v>900</v>
      </c>
      <c r="H14" s="1">
        <v>5026</v>
      </c>
      <c r="I14" s="1">
        <v>2262</v>
      </c>
      <c r="J14" s="1">
        <v>974</v>
      </c>
      <c r="K14" s="1">
        <v>1009</v>
      </c>
      <c r="L14" s="1">
        <v>1102</v>
      </c>
      <c r="M14" s="1">
        <v>430</v>
      </c>
      <c r="N14" s="1">
        <v>2079</v>
      </c>
      <c r="O14" s="1">
        <v>1214</v>
      </c>
    </row>
    <row r="17" spans="3:46" x14ac:dyDescent="0.25">
      <c r="C17" s="4" t="s">
        <v>12</v>
      </c>
      <c r="D17" s="4" t="s">
        <v>13</v>
      </c>
      <c r="E17" s="4" t="s">
        <v>14</v>
      </c>
      <c r="F17" s="4" t="s">
        <v>15</v>
      </c>
      <c r="G17" s="4" t="s">
        <v>16</v>
      </c>
      <c r="H17" s="4" t="s">
        <v>17</v>
      </c>
      <c r="I17" s="4" t="s">
        <v>18</v>
      </c>
      <c r="J17" s="4" t="s">
        <v>19</v>
      </c>
      <c r="K17" s="4" t="s">
        <v>20</v>
      </c>
      <c r="L17" s="4" t="s">
        <v>21</v>
      </c>
      <c r="M17" s="4" t="s">
        <v>22</v>
      </c>
      <c r="N17" s="4" t="s">
        <v>23</v>
      </c>
      <c r="O17" s="4" t="s">
        <v>24</v>
      </c>
      <c r="P17" s="4" t="s">
        <v>25</v>
      </c>
      <c r="Q17" s="4" t="s">
        <v>26</v>
      </c>
      <c r="R17" s="4" t="s">
        <v>27</v>
      </c>
      <c r="S17" s="4" t="s">
        <v>28</v>
      </c>
      <c r="T17" s="4" t="s">
        <v>29</v>
      </c>
      <c r="U17" s="4" t="s">
        <v>30</v>
      </c>
      <c r="V17" s="4" t="s">
        <v>31</v>
      </c>
      <c r="W17" s="4" t="s">
        <v>32</v>
      </c>
      <c r="X17" s="4" t="s">
        <v>33</v>
      </c>
      <c r="Y17" s="4" t="s">
        <v>34</v>
      </c>
      <c r="Z17" s="4" t="s">
        <v>35</v>
      </c>
      <c r="AA17" s="4" t="s">
        <v>36</v>
      </c>
      <c r="AB17" s="4" t="s">
        <v>37</v>
      </c>
      <c r="AC17" s="4" t="s">
        <v>38</v>
      </c>
      <c r="AD17" s="4" t="s">
        <v>39</v>
      </c>
      <c r="AE17" s="4" t="s">
        <v>40</v>
      </c>
      <c r="AF17" s="4" t="s">
        <v>41</v>
      </c>
      <c r="AG17" s="4" t="s">
        <v>42</v>
      </c>
      <c r="AH17" s="4" t="s">
        <v>43</v>
      </c>
      <c r="AI17" s="4" t="s">
        <v>44</v>
      </c>
      <c r="AJ17" s="4" t="s">
        <v>45</v>
      </c>
      <c r="AK17" s="4" t="s">
        <v>46</v>
      </c>
      <c r="AL17" s="4" t="s">
        <v>47</v>
      </c>
      <c r="AM17" s="4" t="s">
        <v>48</v>
      </c>
      <c r="AN17" s="4" t="s">
        <v>49</v>
      </c>
      <c r="AO17" s="4" t="s">
        <v>50</v>
      </c>
      <c r="AP17" s="4" t="s">
        <v>51</v>
      </c>
      <c r="AQ17" s="4" t="s">
        <v>52</v>
      </c>
      <c r="AR17" s="4" t="s">
        <v>53</v>
      </c>
      <c r="AS17" s="4" t="s">
        <v>54</v>
      </c>
      <c r="AT17" s="4" t="s">
        <v>55</v>
      </c>
    </row>
    <row r="18" spans="3:46" x14ac:dyDescent="0.25">
      <c r="C18" s="2">
        <v>45917.71502314815</v>
      </c>
      <c r="D18" s="2">
        <v>45917</v>
      </c>
      <c r="E18" s="3">
        <v>0.71502314814814805</v>
      </c>
      <c r="F18" s="1">
        <v>2025</v>
      </c>
      <c r="G18" s="1">
        <v>9</v>
      </c>
      <c r="H18" s="1">
        <v>17</v>
      </c>
      <c r="I18" s="1">
        <v>17</v>
      </c>
      <c r="J18" s="1">
        <v>9</v>
      </c>
      <c r="K18" s="1">
        <v>38</v>
      </c>
      <c r="L18" s="1">
        <v>1</v>
      </c>
      <c r="M18" s="1">
        <v>5</v>
      </c>
      <c r="N18" s="1"/>
      <c r="O18" s="1">
        <v>80.69</v>
      </c>
      <c r="P18" s="1">
        <v>166</v>
      </c>
      <c r="Q18" s="1">
        <v>208</v>
      </c>
      <c r="R18" s="1">
        <v>291</v>
      </c>
      <c r="S18" s="1">
        <v>367</v>
      </c>
      <c r="T18" s="1">
        <v>1401</v>
      </c>
      <c r="U18" s="1">
        <v>954</v>
      </c>
      <c r="V18" s="1">
        <v>400</v>
      </c>
      <c r="W18" s="1">
        <v>428</v>
      </c>
      <c r="X18" s="1">
        <v>503</v>
      </c>
      <c r="Y18" s="1">
        <v>575</v>
      </c>
      <c r="Z18" s="1">
        <v>1404</v>
      </c>
      <c r="AA18" s="1">
        <v>956</v>
      </c>
      <c r="AB18" s="1">
        <v>20.64</v>
      </c>
      <c r="AC18" s="1">
        <v>81.319999999999993</v>
      </c>
      <c r="AD18" s="1">
        <v>133</v>
      </c>
      <c r="AE18" s="1">
        <v>159</v>
      </c>
      <c r="AF18" s="1">
        <v>198</v>
      </c>
      <c r="AG18" s="1">
        <v>261</v>
      </c>
      <c r="AH18" s="1">
        <v>2078</v>
      </c>
      <c r="AI18" s="1">
        <v>1214</v>
      </c>
      <c r="AJ18" s="1">
        <v>293</v>
      </c>
      <c r="AK18" s="1">
        <v>325</v>
      </c>
      <c r="AL18" s="1">
        <v>354</v>
      </c>
      <c r="AM18" s="1">
        <v>430</v>
      </c>
      <c r="AN18" s="1">
        <v>2079</v>
      </c>
      <c r="AO18" s="1">
        <v>1214</v>
      </c>
      <c r="AP18" s="1" t="s">
        <v>11</v>
      </c>
      <c r="AQ18" s="1">
        <v>6292.0891229999997</v>
      </c>
      <c r="AR18" s="1">
        <v>4385.95345</v>
      </c>
      <c r="AS18" s="1">
        <v>5689.1292240000002</v>
      </c>
      <c r="AT18" s="1">
        <v>5769.7851899999996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Iowa State University of Science and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Nguyen, Phuong H</dc:creator>
  <cp:lastModifiedBy>Nguyen, Phuong H</cp:lastModifiedBy>
  <dcterms:created xsi:type="dcterms:W3CDTF">2026-01-14T17:37:02Z</dcterms:created>
  <dcterms:modified xsi:type="dcterms:W3CDTF">2026-01-14T20:39:39Z</dcterms:modified>
</cp:coreProperties>
</file>